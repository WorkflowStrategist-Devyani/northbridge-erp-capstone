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Devyani\Desktop\Capstone_NorthBridge_ERP\"/>
    </mc:Choice>
  </mc:AlternateContent>
  <xr:revisionPtr revIDLastSave="0" documentId="13_ncr:1_{BD9DEE70-9E61-4D1E-950C-85EA07584250}" xr6:coauthVersionLast="47" xr6:coauthVersionMax="47" xr10:uidLastSave="{00000000-0000-0000-0000-000000000000}"/>
  <bookViews>
    <workbookView xWindow="-108" yWindow="-108" windowWidth="23256" windowHeight="12456" tabRatio="669" activeTab="4" xr2:uid="{00000000-000D-0000-FFFF-FFFF00000000}"/>
  </bookViews>
  <sheets>
    <sheet name="README" sheetId="1" r:id="rId1"/>
    <sheet name="Project_Plan" sheetId="2" r:id="rId2"/>
    <sheet name="Meeting_Transcripts" sheetId="3" r:id="rId3"/>
    <sheet name="Claude_Extracted_Actions" sheetId="4" r:id="rId4"/>
    <sheet name="Risk_Action_Tracker" sheetId="5" r:id="rId5"/>
    <sheet name="Status_Report_BLUF" sheetId="6" r:id="rId6"/>
    <sheet name="Steering_Committee_SCQA"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11" i="5" l="1"/>
  <c r="E11" i="5"/>
  <c r="F11" i="5" s="1"/>
  <c r="H11" i="5" s="1"/>
  <c r="I11" i="5" s="1"/>
  <c r="C11" i="5"/>
  <c r="D11" i="5" s="1"/>
  <c r="B11" i="5"/>
  <c r="A11" i="5"/>
  <c r="G10" i="5"/>
  <c r="E10" i="5"/>
  <c r="F10" i="5" s="1"/>
  <c r="H10" i="5" s="1"/>
  <c r="I10" i="5" s="1"/>
  <c r="C10" i="5"/>
  <c r="D10" i="5" s="1"/>
  <c r="B10" i="5"/>
  <c r="A10" i="5"/>
  <c r="G9" i="5"/>
  <c r="E9" i="5"/>
  <c r="F9" i="5" s="1"/>
  <c r="H9" i="5" s="1"/>
  <c r="I9" i="5" s="1"/>
  <c r="C9" i="5"/>
  <c r="D9" i="5" s="1"/>
  <c r="B9" i="5"/>
  <c r="A9" i="5"/>
  <c r="G8" i="5"/>
  <c r="E8" i="5"/>
  <c r="F8" i="5" s="1"/>
  <c r="H8" i="5" s="1"/>
  <c r="I8" i="5" s="1"/>
  <c r="C8" i="5"/>
  <c r="D8" i="5" s="1"/>
  <c r="B8" i="5"/>
  <c r="A8" i="5"/>
  <c r="G7" i="5"/>
  <c r="E7" i="5"/>
  <c r="F7" i="5" s="1"/>
  <c r="H7" i="5" s="1"/>
  <c r="I7" i="5" s="1"/>
  <c r="C7" i="5"/>
  <c r="D7" i="5" s="1"/>
  <c r="B7" i="5"/>
  <c r="A7" i="5"/>
  <c r="G6" i="5"/>
  <c r="E6" i="5"/>
  <c r="F6" i="5" s="1"/>
  <c r="H6" i="5" s="1"/>
  <c r="I6" i="5" s="1"/>
  <c r="C6" i="5"/>
  <c r="D6" i="5" s="1"/>
  <c r="B6" i="5"/>
  <c r="A6" i="5"/>
  <c r="G5" i="5"/>
  <c r="E5" i="5"/>
  <c r="F5" i="5" s="1"/>
  <c r="H5" i="5" s="1"/>
  <c r="I5" i="5" s="1"/>
  <c r="D5" i="5"/>
  <c r="C5" i="5"/>
  <c r="B5" i="5"/>
  <c r="A5" i="5"/>
  <c r="G4" i="5"/>
  <c r="E4" i="5"/>
  <c r="F4" i="5" s="1"/>
  <c r="H4" i="5" s="1"/>
  <c r="I4" i="5" s="1"/>
  <c r="C4" i="5"/>
  <c r="D4" i="5" s="1"/>
  <c r="B4" i="5"/>
  <c r="A4" i="5"/>
  <c r="G3" i="5"/>
  <c r="E3" i="5"/>
  <c r="F3" i="5" s="1"/>
  <c r="H3" i="5" s="1"/>
  <c r="I3" i="5" s="1"/>
  <c r="C3" i="5"/>
  <c r="D3" i="5" s="1"/>
  <c r="B3" i="5"/>
  <c r="A3" i="5"/>
  <c r="G2" i="5"/>
  <c r="E2" i="5"/>
  <c r="F2" i="5" s="1"/>
  <c r="H2" i="5" s="1"/>
  <c r="I2" i="5" s="1"/>
  <c r="D2" i="5"/>
  <c r="C2" i="5"/>
  <c r="B2" i="5"/>
  <c r="A2" i="5"/>
</calcChain>
</file>

<file path=xl/sharedStrings.xml><?xml version="1.0" encoding="utf-8"?>
<sst xmlns="http://schemas.openxmlformats.org/spreadsheetml/2006/main" count="272" uniqueCount="188">
  <si>
    <t>NorthBridge Retail Group — ERP Delivery Risk &amp; Escalation Assistant</t>
  </si>
  <si>
    <t>Capstone Project 02: Consulting or Project Delivery Assistant — Gen AI for Business</t>
  </si>
  <si>
    <t>Project_Plan</t>
  </si>
  <si>
    <t>Deterministic input. The baseline programme plan (workstreams, owners, dates). Used to validate extracted data.</t>
  </si>
  <si>
    <t>Meeting_Transcripts</t>
  </si>
  <si>
    <t>Unstructured input. Three fictional meeting transcripts (raw text) — this is what Claude reads.</t>
  </si>
  <si>
    <t>Claude_Extracted_Actions</t>
  </si>
  <si>
    <t>Gen AI output (Claude node #1). Actions, owners, due dates and priorities extracted from the transcripts, with the source quote kept for traceability.</t>
  </si>
  <si>
    <t>Risk_Action_Tracker</t>
  </si>
  <si>
    <t>Deterministic logic (n8n Function/Code node — no AI). Cross-checks each extracted owner against Project_Plan and calculates OVERDUE / AT RISK / ON TRACK status from real dates, using formulas — not AI judgement.</t>
  </si>
  <si>
    <t>Status_Report_BLUF</t>
  </si>
  <si>
    <t>Gen AI output (Claude node #2). The weekly leadership status update, generated from the tracker, structured using the BLUF framework (Bottom Line Up Front).</t>
  </si>
  <si>
    <t>Steering_Committee_SCQA</t>
  </si>
  <si>
    <t>Gen AI output (Claude node #3, stretch). A steering-committee-ready escalation brief structured using SCQA (Situation-Complication-Question-Answer).</t>
  </si>
  <si>
    <t>Colour legend</t>
  </si>
  <si>
    <t>Blue text</t>
  </si>
  <si>
    <t>Hardcoded input, or sample AI-generated output (what Claude would return when the n8n workflow runs)</t>
  </si>
  <si>
    <t>Black text</t>
  </si>
  <si>
    <t>Live spreadsheet formula — deterministic calculation or validation</t>
  </si>
  <si>
    <t>Yellow fill</t>
  </si>
  <si>
    <t>Assumption or cell you may want to edit/re-run (e.g. TODAY() driven status)</t>
  </si>
  <si>
    <t>Business metrics this should improve</t>
  </si>
  <si>
    <t>- PMO hours/week spent manually drafting status reports and risk logs (target: material reduction).</t>
  </si>
  <si>
    <t>- Time-to-detection: days between a risk first being mentioned in a meeting and it being flagged/escalated (target: same week, not discovered at the next steering committee).</t>
  </si>
  <si>
    <t>Limitations &amp; what's needed before real deployment</t>
  </si>
  <si>
    <t>- All data (company, people, transcripts) is synthetic, built for this capstone only.</t>
  </si>
  <si>
    <t>- Owner validation is exact-string matching against Project_Plan, not fuzzy/identity-resolved — a real deployment needs an HR/directory lookup.</t>
  </si>
  <si>
    <t>- No bias, privacy, or legal review of AI-drafted content has been performed; a real rollout needs a defined approval owner and audit log, not just a Slack DM.</t>
  </si>
  <si>
    <t>- Anthropic API key must be stored in n8n's credential store (never hardcoded) and access to the workflow restricted to the PMO team.</t>
  </si>
  <si>
    <t>- Error handling, retries, and rate-limit handling on the Claude API calls are not built out for production volume.</t>
  </si>
  <si>
    <t>Workstream</t>
  </si>
  <si>
    <t>Task</t>
  </si>
  <si>
    <t>Owner</t>
  </si>
  <si>
    <t>Planned_Start</t>
  </si>
  <si>
    <t>Planned_End</t>
  </si>
  <si>
    <t>Baseline_Status</t>
  </si>
  <si>
    <t>Program Management</t>
  </si>
  <si>
    <t>Programme charter &amp; governance setup</t>
  </si>
  <si>
    <t>Rahul Verma</t>
  </si>
  <si>
    <t>2026-05-04</t>
  </si>
  <si>
    <t>2026-05-15</t>
  </si>
  <si>
    <t>Complete</t>
  </si>
  <si>
    <t>Steering committee cadence established</t>
  </si>
  <si>
    <t>2026-05-11</t>
  </si>
  <si>
    <t>2026-05-18</t>
  </si>
  <si>
    <t>Finance &amp; Controlling</t>
  </si>
  <si>
    <t>Chart of accounts redesign</t>
  </si>
  <si>
    <t>Priya Nair</t>
  </si>
  <si>
    <t>2026-06-19</t>
  </si>
  <si>
    <t>Finance UAT (cycle 1)</t>
  </si>
  <si>
    <t>2026-07-20</t>
  </si>
  <si>
    <t>2026-08-14</t>
  </si>
  <si>
    <t>In Progress</t>
  </si>
  <si>
    <t>Supply Chain &amp; Inventory</t>
  </si>
  <si>
    <t>Inventory master data cleansing</t>
  </si>
  <si>
    <t>Marcus Chen</t>
  </si>
  <si>
    <t>2026-05-25</t>
  </si>
  <si>
    <t>2026-06-26</t>
  </si>
  <si>
    <t>Warehouse module configuration</t>
  </si>
  <si>
    <t>2026-06-29</t>
  </si>
  <si>
    <t>2026-08-07</t>
  </si>
  <si>
    <t>Data Migration</t>
  </si>
  <si>
    <t>Legacy data extraction (Finance)</t>
  </si>
  <si>
    <t>Fatima Rahman</t>
  </si>
  <si>
    <t>2026-06-01</t>
  </si>
  <si>
    <t>2026-06-30</t>
  </si>
  <si>
    <t>Legacy data extraction (Supply Chain)</t>
  </si>
  <si>
    <t>2026-06-15</t>
  </si>
  <si>
    <t>2026-07-24</t>
  </si>
  <si>
    <t>At Risk</t>
  </si>
  <si>
    <t>Mock load &amp; reconciliation (dry run 2)</t>
  </si>
  <si>
    <t>2026-07-27</t>
  </si>
  <si>
    <t>Change Management &amp; Training</t>
  </si>
  <si>
    <t>Super-user training curriculum</t>
  </si>
  <si>
    <t>James O'Connor</t>
  </si>
  <si>
    <t>2026-06-08</t>
  </si>
  <si>
    <t>2026-07-10</t>
  </si>
  <si>
    <t>Store manager training rollout</t>
  </si>
  <si>
    <t>2026-08-21</t>
  </si>
  <si>
    <t>Testing &amp; Cutover</t>
  </si>
  <si>
    <t>System Integration Testing (SIT)</t>
  </si>
  <si>
    <t>Ana Souza</t>
  </si>
  <si>
    <t>2026-07-06</t>
  </si>
  <si>
    <t>2026-07-31</t>
  </si>
  <si>
    <t>User Acceptance Testing (UAT)</t>
  </si>
  <si>
    <t>Cutover rehearsal</t>
  </si>
  <si>
    <t>2026-08-17</t>
  </si>
  <si>
    <t>2026-08-24</t>
  </si>
  <si>
    <t>Not Started</t>
  </si>
  <si>
    <t>Vendor &amp; Infrastructure</t>
  </si>
  <si>
    <t>SAP S/4HANA hosting environment sign-off</t>
  </si>
  <si>
    <t>Integration middleware performance test</t>
  </si>
  <si>
    <t>2026-07-13</t>
  </si>
  <si>
    <t>Meeting_ID</t>
  </si>
  <si>
    <t>Date</t>
  </si>
  <si>
    <t>Meeting_Title</t>
  </si>
  <si>
    <t>Attendees</t>
  </si>
  <si>
    <t>Transcript_Text</t>
  </si>
  <si>
    <t>M1</t>
  </si>
  <si>
    <t>2026-08-03</t>
  </si>
  <si>
    <t>Weekly Programme Status Meeting</t>
  </si>
  <si>
    <t>Rahul Verma (PM), Priya Nair, Marcus Chen, Fatima Rahman, Ana Souza</t>
  </si>
  <si>
    <t>Rahul (PM): Let's do the weekly round-robin. Fatima, where are we on the supply chain data extraction?
Fatima: Not where I want to be. The legacy WMS vendor is throttling our API calls, so extraction is running about five business days behind. I need until August 10th to finish the full pull.
Rahul: Can we live with that against the mock load date?
Fatima: Tight but workable, if Marcus can validate a sample reconciliation as soon as I hand it over, say by the same date, August 10th.
Marcus: I can do that, I'll block time for it.
Rahul: Ana, UAT status?
Ana: Fourteen open defects in the Finance module, three are severity-1 and blocking sign-off. Priya, I need your team to retest those three by August 12th or we lose the buffer before cutover rehearsal.
Priya: Understood, we'll prioritise the severity-1s and retest by the 12th.
Rahul: James isn't on the call today, but I need the store manager training rollout schedule from him — let's flag that he should send it to the group by August 7th.
Marcus: One more thing — we ran a load test on the integration middleware and saw latency spikes that could affect nightly batch runs post go-live. I think we need to escalate this to TechFlow Middleware formally, we can't just monitor it. If we don't get a response by August 11th we're going to put the cutover rehearsal date at risk.
Rahul: Agreed, I'll own getting that escalated.</t>
  </si>
  <si>
    <t>M2</t>
  </si>
  <si>
    <t>2026-08-04</t>
  </si>
  <si>
    <t>Steering Committee Prep / Risk Review</t>
  </si>
  <si>
    <t>Rahul Verma (PM), Elena Diaz (Sponsor), Priya Nair, Fatima Rahman</t>
  </si>
  <si>
    <t>Elena (Sponsor): Before we finalise the steering committee deck, I want to understand the budget picture. I'm seeing change requests stacking up.
Rahul: Yes, we've had three vendor change requests since the last steering committee. I'll pull together a consolidated change-request cost summary and have it to you by August 6th, ahead of the meeting.
Elena: Good, the committee will ask.
Fatima: I also want to flag formally that Data Migration should move to 'At Risk' on the RAID log. Given the extraction delay, we have a real decision to make: either we push UAT cycle 2 out by a week, or we accept the compressed timeline and the quality risk that comes with it. I don't think that's a decision I should be making alone, it needs to go to the steering committee as a formal ask, ideally flagged before the 6th so they have time to think about it.
Rahul: Fair, I'll add it as a decision item on the steering committee agenda.
Priya: And separately, the severity-1 defects Ana mentioned - two of them trace back to a configuration gap on SAP AMS's side, not ours. I think we have a legitimate SLA concern. Rahul, can you send a formal escalation to TechFlow Middleware and SAP AMS? I'd like that out by the 6th as well so it's on record before the committee meets.
Rahul: I'll get that email out.</t>
  </si>
  <si>
    <t>M3</t>
  </si>
  <si>
    <t>Change Management Working Session</t>
  </si>
  <si>
    <t>James O'Connor, Rahul Verma (drop-in), Regional Ops Lead</t>
  </si>
  <si>
    <t>James: Quick update on training. Overall rollout is on track, but registration numbers are soft in two regions - Southeast and Midwest are both under 40% registered, and we're up against the August 21st deadline.
Regional Ops Lead: That tracks with what I'm hearing, store managers are deprioritising it against holiday prep.
James: I think we need a direct reminder push to those store managers, and honestly I think it needs to be escalated to the regional VP so it gets mandated rather than just recommended. Let's target getting that out by August 8th.
Rahul (drop-in): Agreed, don't let that slide, low adoption is exactly the kind of thing that becomes a go-live problem nobody saw coming.
James: Separately, the super-user community FAQ is getting stale - a few of the UAT defects Ana's team found are generating repeat questions. I'll refresh the FAQ doc with guidance on those by August 13th.</t>
  </si>
  <si>
    <t>Action_ID</t>
  </si>
  <si>
    <t>Source_Meeting</t>
  </si>
  <si>
    <t>Type</t>
  </si>
  <si>
    <t>Action_Item</t>
  </si>
  <si>
    <t>Due_Date</t>
  </si>
  <si>
    <t>Priority_AI</t>
  </si>
  <si>
    <t>Source_Quote</t>
  </si>
  <si>
    <t>A1</t>
  </si>
  <si>
    <t>Action</t>
  </si>
  <si>
    <t>Complete supply chain legacy data extraction (resolve WMS API throttling)</t>
  </si>
  <si>
    <t>2026-08-10</t>
  </si>
  <si>
    <t>High</t>
  </si>
  <si>
    <t>extraction is running about five business days behind... I need until August 10th to finish the full pull</t>
  </si>
  <si>
    <t>A2</t>
  </si>
  <si>
    <t>Validate sample reconciliation of supply chain extraction</t>
  </si>
  <si>
    <t>Medium</t>
  </si>
  <si>
    <t>Marcus can validate a sample reconciliation as soon as I hand it over, say by the same date, August 10th</t>
  </si>
  <si>
    <t>A3</t>
  </si>
  <si>
    <t>Retest 3 severity-1 Finance UAT defects</t>
  </si>
  <si>
    <t>2026-08-12</t>
  </si>
  <si>
    <t>we'll prioritise the severity-1s and retest by the 12th</t>
  </si>
  <si>
    <t>A4</t>
  </si>
  <si>
    <t>Send store manager training rollout schedule</t>
  </si>
  <si>
    <t>let's flag that he should send it to the group by August 7th</t>
  </si>
  <si>
    <t>A5</t>
  </si>
  <si>
    <t>Formally escalate integration middleware latency issue to TechFlow Middleware</t>
  </si>
  <si>
    <t>2026-08-11</t>
  </si>
  <si>
    <t>we're going to put the cutover rehearsal date at risk... I'll own getting that escalated</t>
  </si>
  <si>
    <t>A6</t>
  </si>
  <si>
    <t>Prepare consolidated vendor change-request cost summary for Steering Committee</t>
  </si>
  <si>
    <t>2026-08-06</t>
  </si>
  <si>
    <t>I'll pull together a consolidated change-request cost summary and have it to you by August 6th</t>
  </si>
  <si>
    <t>A7</t>
  </si>
  <si>
    <t>Decision</t>
  </si>
  <si>
    <t>Steering Committee to decide: delay UAT cycle 2 by one week vs. accept compressed-timeline risk</t>
  </si>
  <si>
    <t>Steering Committee</t>
  </si>
  <si>
    <t>it needs to go to the steering committee as a formal ask, ideally flagged before the 6th</t>
  </si>
  <si>
    <t>A8</t>
  </si>
  <si>
    <t>Send formal SLA escalation email to TechFlow Middleware / SAP AMS re: severity-1 defects</t>
  </si>
  <si>
    <t>can you send a formal escalation to TechFlow Middleware and SAP AMS? I'd like that out by the 6th</t>
  </si>
  <si>
    <t>A9</t>
  </si>
  <si>
    <t>Send training reminder and escalate low registration (Southeast, Midwest) to Regional VP</t>
  </si>
  <si>
    <t>2026-08-08</t>
  </si>
  <si>
    <t>it needs to be escalated to the regional VP so it gets mandated... target getting that out by August 8th</t>
  </si>
  <si>
    <t>A10</t>
  </si>
  <si>
    <t>Refresh super-user FAQ with guidance on new UAT defects</t>
  </si>
  <si>
    <t>2026-08-13</t>
  </si>
  <si>
    <t>Low</t>
  </si>
  <si>
    <t>I'll refresh the FAQ doc with guidance on those by August 13th</t>
  </si>
  <si>
    <t>Owner_Valid_vs_Plan</t>
  </si>
  <si>
    <t>Days_To_Due</t>
  </si>
  <si>
    <t>Status_Calculated</t>
  </si>
  <si>
    <t>Escalation_Note</t>
  </si>
  <si>
    <t>Every cell in this tab is a live formula (black text). Nothing here is written or judged by the AI — this is the deterministic validation/calculation layer the capstone brief asks for.</t>
  </si>
  <si>
    <t>Weekly Programme Status Update — NorthBridge ERP Transformation</t>
  </si>
  <si>
    <t>Generated by Claude from Risk_Action_Tracker (Claude node #2) | Week ending 2026-08-05 | Structured using the BLUF framework</t>
  </si>
  <si>
    <t>BOTTOM LINE</t>
  </si>
  <si>
    <t>Programme remains on track for the August 21 training and UAT milestones, but 5 of the 10 open actions from this week's meetings are due within 3 days and need attention now. One action lacks a named individual owner and was automatically flagged by the tracker. One decision requires the Steering Committee before August 6.</t>
  </si>
  <si>
    <t>PROGRESS THIS WEEK</t>
  </si>
  <si>
    <t>- Supply chain legacy data extraction is proceeding despite a WMS vendor API throttling delay; full pull still expected by August 10, with Marcus Chen validating a reconciliation sample the same day.
- Finance UAT: 14 defects open (3 severity-1); retest of severity-1s committed for August 12.
- Store manager training rollout is on schedule overall against the August 21 deadline.
- System Integration Testing (SIT) is complete; UAT and cutover rehearsal are the next gates.</t>
  </si>
  <si>
    <t>RISKS (AT RISK OR REQUIRING DECISION)</t>
  </si>
  <si>
    <t>- Data Migration workstream is At Risk. A decision is needed by August 6 on delaying UAT cycle 2 by one week versus accepting a compressed-timeline quality risk — see attached SCQA Steering Committee brief.
- Integration middleware latency issue escalated to TechFlow Middleware; if no vendor response by August 11, the cutover rehearsal date is at risk.
- Store manager training registration is under 40% in the Southeast and Midwest regions ahead of the August 21 deadline; escalation to the Regional VP requested by August 8.
- Two severity-1 Finance UAT defects trace to a SAP AMS configuration gap; a formal SLA escalation was due August 6.</t>
  </si>
  <si>
    <t>ASKS OF LEADERSHIP</t>
  </si>
  <si>
    <t>1. Steering Committee: decide on the UAT cycle 2 timeline by August 6 (formal ask, see SCQA brief).
2. Assign a named, individual owner for the UAT-cycle-2 decision follow-through — the tracker currently shows 'Steering Committee' as the owner, which is not a trackable individual and was flagged automatically by the validation check, not by a person.
3. Approve the SLA escalation email to TechFlow Middleware / SAP AMS.
4. Note for next steering committee: consolidated vendor change-request cost summary attached separately.</t>
  </si>
  <si>
    <t>HOW THIS WAS PRODUCED</t>
  </si>
  <si>
    <t>This update was drafted automatically by Claude from the Risk_Action_Tracker tab, which is itself 100% spreadsheet formulas (date math + lookup validation, zero AI). Claude only wrote the narrative language; every status, date, and owner-validation check came from deterministic calculation. A programme manager reviews and edits this draft before it is sent — nothing here goes to the Steering Committee unreviewed.</t>
  </si>
  <si>
    <t>Steering Committee Escalation Brief — Data Migration Timeline Decision</t>
  </si>
  <si>
    <t>Generated by Claude (Claude node #3, optional extension) | Structured using the SCQA framework</t>
  </si>
  <si>
    <t>SITUATION</t>
  </si>
  <si>
    <t>NorthBridge's ERP transformation programme is in its Data Migration and Testing &amp; Cutover phases, with System Integration Testing complete and UAT cycle 1 underway. Go-live readiness depends on a clean Supply Chain data extraction and a successful mock load ahead of cutover rehearsal on August 24.</t>
  </si>
  <si>
    <t>COMPLICATION</t>
  </si>
  <si>
    <t>The legacy warehouse management system vendor is throttling API calls during extraction, putting the Supply Chain data pull five business days behind schedule. This pushes reconciliation and validation into the same window originally reserved for UAT cycle 2, compressing the time available to catch and fix data-quality defects before cutover rehearsal.</t>
  </si>
  <si>
    <t>QUESTION</t>
  </si>
  <si>
    <t>Should the Steering Committee approve a one-week delay to UAT cycle 2 to protect data-quality testing time, or hold the current date and accept an elevated risk of defects escaping into cutover rehearsal?</t>
  </si>
  <si>
    <t>ANSWER / RECOMMENDATION</t>
  </si>
  <si>
    <t>Recommend delaying UAT cycle 2 by one week. The cost is a compressed but still workable runway to the August 24 cutover rehearsal date; the alternative risk is discovering data-quality defects during rehearsal itself, which is materially more expensive to fix under time pressure and closer to go-live. This recommendation is a draft input for discussion — final call rests with the Steering Committee, not with this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</si>
</sst>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1" x14ac:knownFonts="1">
    <font>
      <sz val="11"/>
      <color theme="1"/>
      <name val="Calibri"/>
      <family val="2"/>
      <charset val="1"/>
    </font>
    <font>
      <b/>
      <sz val="16"/>
      <color rgb="FF1F2A44"/>
      <name val="Arial"/>
      <charset val="1"/>
    </font>
    <font>
      <i/>
      <sz val="10"/>
      <color rgb="FF666666"/>
      <name val="Arial"/>
      <charset val="1"/>
    </font>
    <font>
      <b/>
      <sz val="11"/>
      <name val="Arial"/>
      <charset val="1"/>
    </font>
    <font>
      <sz val="11"/>
      <color rgb="FF000000"/>
      <name val="Arial"/>
      <charset val="1"/>
    </font>
    <font>
      <sz val="11"/>
      <color rgb="FF0000FF"/>
      <name val="Arial"/>
      <charset val="1"/>
    </font>
    <font>
      <b/>
      <sz val="11"/>
      <color rgb="FF1F2A44"/>
      <name val="Arial"/>
      <charset val="1"/>
    </font>
    <font>
      <b/>
      <sz val="11"/>
      <color rgb="FFFFFFFF"/>
      <name val="Arial"/>
      <charset val="1"/>
    </font>
    <font>
      <i/>
      <sz val="11"/>
      <color rgb="FF666666"/>
      <name val="Arial"/>
      <charset val="1"/>
    </font>
    <font>
      <b/>
      <sz val="14"/>
      <color rgb="FF1F2A44"/>
      <name val="Arial"/>
      <charset val="1"/>
    </font>
    <font>
      <i/>
      <sz val="9"/>
      <color rgb="FF666666"/>
      <name val="Arial"/>
      <charset val="1"/>
    </font>
  </fonts>
  <fills count="4">
    <fill>
      <patternFill patternType="none"/>
    </fill>
    <fill>
      <patternFill patternType="gray125"/>
    </fill>
    <fill>
      <patternFill patternType="solid">
        <fgColor rgb="FFFFFF00"/>
        <bgColor rgb="FFFFFF00"/>
      </patternFill>
    </fill>
    <fill>
      <patternFill patternType="solid">
        <fgColor rgb="FF1F2A44"/>
        <bgColor rgb="FF00336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4">
    <xf numFmtId="0" fontId="0" fillId="0" borderId="0" xfId="0"/>
    <xf numFmtId="0" fontId="5" fillId="0" borderId="0" xfId="0" applyFont="1" applyAlignment="1">
      <alignment vertical="top" wrapText="1"/>
    </xf>
    <xf numFmtId="0" fontId="7" fillId="3" borderId="0" xfId="0" applyFont="1" applyFill="1"/>
    <xf numFmtId="0" fontId="8" fillId="0" borderId="0" xfId="0" applyFont="1" applyAlignment="1">
      <alignment vertical="top" wrapText="1"/>
    </xf>
    <xf numFmtId="0" fontId="4" fillId="0" borderId="0" xfId="0" applyFont="1" applyAlignment="1">
      <alignment vertical="top" wrapText="1"/>
    </xf>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4" fillId="0" borderId="0" xfId="0" applyFont="1"/>
    <xf numFmtId="0" fontId="0" fillId="2" borderId="0" xfId="0" applyFill="1"/>
    <xf numFmtId="0" fontId="6" fillId="0" borderId="0" xfId="0" applyFont="1"/>
    <xf numFmtId="0" fontId="7" fillId="3" borderId="1" xfId="0" applyFont="1" applyFill="1" applyBorder="1" applyAlignment="1">
      <alignment horizontal="center" vertical="top" wrapText="1"/>
    </xf>
    <xf numFmtId="0" fontId="5" fillId="0" borderId="1" xfId="0" applyFont="1" applyBorder="1"/>
    <xf numFmtId="164" fontId="5" fillId="0" borderId="1" xfId="0" applyNumberFormat="1" applyFont="1" applyBorder="1"/>
    <xf numFmtId="0" fontId="5" fillId="0" borderId="1" xfId="0" applyFont="1" applyBorder="1" applyAlignment="1">
      <alignment vertical="top" wrapText="1"/>
    </xf>
    <xf numFmtId="164" fontId="5" fillId="0" borderId="1" xfId="0" applyNumberFormat="1" applyFont="1" applyBorder="1" applyAlignment="1">
      <alignment vertical="top" wrapText="1"/>
    </xf>
    <xf numFmtId="0" fontId="4" fillId="0" borderId="1" xfId="0" applyFont="1" applyBorder="1"/>
    <xf numFmtId="0" fontId="4" fillId="0" borderId="1" xfId="0" applyFont="1" applyBorder="1" applyAlignment="1">
      <alignment vertical="top" wrapText="1"/>
    </xf>
    <xf numFmtId="164" fontId="4" fillId="0" borderId="1" xfId="0" applyNumberFormat="1" applyFont="1" applyBorder="1"/>
    <xf numFmtId="1" fontId="4" fillId="0" borderId="1" xfId="0" applyNumberFormat="1" applyFont="1" applyBorder="1"/>
    <xf numFmtId="0" fontId="9" fillId="0" borderId="0" xfId="0" applyFont="1"/>
    <xf numFmtId="0" fontId="10" fillId="0" borderId="0" xfId="0" applyFont="1"/>
  </cellXfs>
  <cellStyles count="1">
    <cellStyle name="Normal" xfId="0" builtinId="0"/>
  </cellStyles>
  <dxfs count="4">
    <dxf>
      <font>
        <color rgb="FF006100"/>
        <name val="Arial"/>
        <charset val="1"/>
      </font>
      <fill>
        <patternFill>
          <bgColor rgb="FFC6EFCE"/>
        </patternFill>
      </fill>
    </dxf>
    <dxf>
      <font>
        <color rgb="FF9C6500"/>
        <name val="Arial"/>
        <charset val="1"/>
      </font>
      <fill>
        <patternFill>
          <bgColor rgb="FFFFEB9C"/>
        </patternFill>
      </fill>
    </dxf>
    <dxf>
      <font>
        <color rgb="FF9C0006"/>
        <name val="Arial"/>
        <charset val="1"/>
      </font>
      <fill>
        <patternFill>
          <bgColor rgb="FFFFC7CE"/>
        </patternFill>
      </fill>
    </dxf>
    <dxf>
      <font>
        <color rgb="FF9C0006"/>
        <name val="Arial"/>
        <charset val="1"/>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9C65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1F2A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27"/>
  <sheetViews>
    <sheetView showGridLines="0" topLeftCell="A4" zoomScaleNormal="100" workbookViewId="0"/>
  </sheetViews>
  <sheetFormatPr defaultColWidth="8.6640625" defaultRowHeight="14.4" x14ac:dyDescent="0.3"/>
  <cols>
    <col min="1" max="1" width="3" customWidth="1"/>
    <col min="2" max="2" width="22" customWidth="1"/>
    <col min="3" max="3" width="100" customWidth="1"/>
  </cols>
  <sheetData>
    <row r="2" spans="2:3" ht="19.5" customHeight="1" x14ac:dyDescent="0.4">
      <c r="B2" s="5" t="s">
        <v>0</v>
      </c>
    </row>
    <row r="3" spans="2:3" ht="15" customHeight="1" x14ac:dyDescent="0.3">
      <c r="B3" s="6" t="s">
        <v>1</v>
      </c>
    </row>
    <row r="6" spans="2:3" ht="45" customHeight="1" x14ac:dyDescent="0.3">
      <c r="B6" s="7" t="s">
        <v>2</v>
      </c>
      <c r="C6" s="8" t="s">
        <v>3</v>
      </c>
    </row>
    <row r="7" spans="2:3" ht="45" customHeight="1" x14ac:dyDescent="0.3">
      <c r="B7" s="7" t="s">
        <v>4</v>
      </c>
      <c r="C7" s="8" t="s">
        <v>5</v>
      </c>
    </row>
    <row r="8" spans="2:3" ht="45" customHeight="1" x14ac:dyDescent="0.3">
      <c r="B8" s="7" t="s">
        <v>6</v>
      </c>
      <c r="C8" s="8" t="s">
        <v>7</v>
      </c>
    </row>
    <row r="9" spans="2:3" ht="45" customHeight="1" x14ac:dyDescent="0.3">
      <c r="B9" s="7" t="s">
        <v>8</v>
      </c>
      <c r="C9" s="8" t="s">
        <v>9</v>
      </c>
    </row>
    <row r="10" spans="2:3" ht="45" customHeight="1" x14ac:dyDescent="0.3">
      <c r="B10" s="7" t="s">
        <v>10</v>
      </c>
      <c r="C10" s="8" t="s">
        <v>11</v>
      </c>
    </row>
    <row r="11" spans="2:3" ht="45" customHeight="1" x14ac:dyDescent="0.3">
      <c r="B11" s="7" t="s">
        <v>12</v>
      </c>
      <c r="C11" s="8" t="s">
        <v>13</v>
      </c>
    </row>
    <row r="13" spans="2:3" ht="15" customHeight="1" x14ac:dyDescent="0.3">
      <c r="B13" s="7" t="s">
        <v>14</v>
      </c>
    </row>
    <row r="14" spans="2:3" ht="15" customHeight="1" x14ac:dyDescent="0.3">
      <c r="B14" s="9" t="s">
        <v>15</v>
      </c>
      <c r="C14" t="s">
        <v>16</v>
      </c>
    </row>
    <row r="15" spans="2:3" ht="15" customHeight="1" x14ac:dyDescent="0.3">
      <c r="B15" s="10" t="s">
        <v>17</v>
      </c>
      <c r="C15" t="s">
        <v>18</v>
      </c>
    </row>
    <row r="16" spans="2:3" ht="15" customHeight="1" x14ac:dyDescent="0.3">
      <c r="B16" s="11" t="s">
        <v>19</v>
      </c>
      <c r="C16" t="s">
        <v>20</v>
      </c>
    </row>
    <row r="18" spans="2:3" x14ac:dyDescent="0.3">
      <c r="B18" s="12" t="s">
        <v>21</v>
      </c>
    </row>
    <row r="19" spans="2:3" ht="30" customHeight="1" x14ac:dyDescent="0.3">
      <c r="B19" s="4" t="s">
        <v>22</v>
      </c>
      <c r="C19" s="4"/>
    </row>
    <row r="20" spans="2:3" ht="30" customHeight="1" x14ac:dyDescent="0.3">
      <c r="B20" s="4" t="s">
        <v>23</v>
      </c>
      <c r="C20" s="4"/>
    </row>
    <row r="22" spans="2:3" x14ac:dyDescent="0.3">
      <c r="B22" s="12" t="s">
        <v>24</v>
      </c>
    </row>
    <row r="23" spans="2:3" ht="30" customHeight="1" x14ac:dyDescent="0.3">
      <c r="B23" s="4" t="s">
        <v>25</v>
      </c>
      <c r="C23" s="4"/>
    </row>
    <row r="24" spans="2:3" ht="30" customHeight="1" x14ac:dyDescent="0.3">
      <c r="B24" s="4" t="s">
        <v>26</v>
      </c>
      <c r="C24" s="4"/>
    </row>
    <row r="25" spans="2:3" ht="30" customHeight="1" x14ac:dyDescent="0.3">
      <c r="B25" s="4" t="s">
        <v>27</v>
      </c>
      <c r="C25" s="4"/>
    </row>
    <row r="26" spans="2:3" ht="30" customHeight="1" x14ac:dyDescent="0.3">
      <c r="B26" s="4" t="s">
        <v>28</v>
      </c>
      <c r="C26" s="4"/>
    </row>
    <row r="27" spans="2:3" ht="30" customHeight="1" x14ac:dyDescent="0.3">
      <c r="B27" s="4" t="s">
        <v>29</v>
      </c>
      <c r="C27" s="4"/>
    </row>
  </sheetData>
  <mergeCells count="7">
    <mergeCell ref="B26:C26"/>
    <mergeCell ref="B27:C27"/>
    <mergeCell ref="B19:C19"/>
    <mergeCell ref="B20:C20"/>
    <mergeCell ref="B23:C23"/>
    <mergeCell ref="B24:C24"/>
    <mergeCell ref="B25:C2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
  <sheetViews>
    <sheetView showGridLines="0" zoomScaleNormal="100" workbookViewId="0">
      <pane ySplit="1" topLeftCell="A2" activePane="bottomLeft" state="frozen"/>
      <selection pane="bottomLeft" activeCell="F1" sqref="F1"/>
    </sheetView>
  </sheetViews>
  <sheetFormatPr defaultColWidth="8.6640625" defaultRowHeight="14.4" x14ac:dyDescent="0.3"/>
  <cols>
    <col min="1" max="1" width="30.44140625" bestFit="1" customWidth="1"/>
    <col min="2" max="2" width="40.109375" bestFit="1" customWidth="1"/>
    <col min="3" max="3" width="15.88671875" bestFit="1" customWidth="1"/>
    <col min="4" max="4" width="14.6640625" bestFit="1" customWidth="1"/>
    <col min="5" max="5" width="14" customWidth="1"/>
    <col min="6" max="6" width="16.77734375" bestFit="1" customWidth="1"/>
  </cols>
  <sheetData>
    <row r="1" spans="1:6" ht="26.25" customHeight="1" x14ac:dyDescent="0.3">
      <c r="A1" s="13" t="s">
        <v>30</v>
      </c>
      <c r="B1" s="13" t="s">
        <v>31</v>
      </c>
      <c r="C1" s="13" t="s">
        <v>32</v>
      </c>
      <c r="D1" s="13" t="s">
        <v>33</v>
      </c>
      <c r="E1" s="13" t="s">
        <v>34</v>
      </c>
      <c r="F1" s="13" t="s">
        <v>35</v>
      </c>
    </row>
    <row r="2" spans="1:6" ht="15" customHeight="1" x14ac:dyDescent="0.3">
      <c r="A2" s="14" t="s">
        <v>36</v>
      </c>
      <c r="B2" s="14" t="s">
        <v>37</v>
      </c>
      <c r="C2" s="14" t="s">
        <v>38</v>
      </c>
      <c r="D2" s="15" t="s">
        <v>39</v>
      </c>
      <c r="E2" s="15" t="s">
        <v>40</v>
      </c>
      <c r="F2" s="14" t="s">
        <v>41</v>
      </c>
    </row>
    <row r="3" spans="1:6" ht="15" customHeight="1" x14ac:dyDescent="0.3">
      <c r="A3" s="14" t="s">
        <v>36</v>
      </c>
      <c r="B3" s="14" t="s">
        <v>42</v>
      </c>
      <c r="C3" s="14" t="s">
        <v>38</v>
      </c>
      <c r="D3" s="15" t="s">
        <v>43</v>
      </c>
      <c r="E3" s="15" t="s">
        <v>44</v>
      </c>
      <c r="F3" s="14" t="s">
        <v>41</v>
      </c>
    </row>
    <row r="4" spans="1:6" ht="15" customHeight="1" x14ac:dyDescent="0.3">
      <c r="A4" s="14" t="s">
        <v>45</v>
      </c>
      <c r="B4" s="14" t="s">
        <v>46</v>
      </c>
      <c r="C4" s="14" t="s">
        <v>47</v>
      </c>
      <c r="D4" s="15" t="s">
        <v>44</v>
      </c>
      <c r="E4" s="15" t="s">
        <v>48</v>
      </c>
      <c r="F4" s="14" t="s">
        <v>41</v>
      </c>
    </row>
    <row r="5" spans="1:6" ht="15" customHeight="1" x14ac:dyDescent="0.3">
      <c r="A5" s="14" t="s">
        <v>45</v>
      </c>
      <c r="B5" s="14" t="s">
        <v>49</v>
      </c>
      <c r="C5" s="14" t="s">
        <v>47</v>
      </c>
      <c r="D5" s="15" t="s">
        <v>50</v>
      </c>
      <c r="E5" s="15" t="s">
        <v>51</v>
      </c>
      <c r="F5" s="14" t="s">
        <v>52</v>
      </c>
    </row>
    <row r="6" spans="1:6" ht="15" customHeight="1" x14ac:dyDescent="0.3">
      <c r="A6" s="14" t="s">
        <v>53</v>
      </c>
      <c r="B6" s="14" t="s">
        <v>54</v>
      </c>
      <c r="C6" s="14" t="s">
        <v>55</v>
      </c>
      <c r="D6" s="15" t="s">
        <v>56</v>
      </c>
      <c r="E6" s="15" t="s">
        <v>57</v>
      </c>
      <c r="F6" s="14" t="s">
        <v>41</v>
      </c>
    </row>
    <row r="7" spans="1:6" ht="15" customHeight="1" x14ac:dyDescent="0.3">
      <c r="A7" s="14" t="s">
        <v>53</v>
      </c>
      <c r="B7" s="14" t="s">
        <v>58</v>
      </c>
      <c r="C7" s="14" t="s">
        <v>55</v>
      </c>
      <c r="D7" s="15" t="s">
        <v>59</v>
      </c>
      <c r="E7" s="15" t="s">
        <v>60</v>
      </c>
      <c r="F7" s="14" t="s">
        <v>52</v>
      </c>
    </row>
    <row r="8" spans="1:6" ht="15" customHeight="1" x14ac:dyDescent="0.3">
      <c r="A8" s="14" t="s">
        <v>61</v>
      </c>
      <c r="B8" s="14" t="s">
        <v>62</v>
      </c>
      <c r="C8" s="14" t="s">
        <v>63</v>
      </c>
      <c r="D8" s="15" t="s">
        <v>64</v>
      </c>
      <c r="E8" s="15" t="s">
        <v>65</v>
      </c>
      <c r="F8" s="14" t="s">
        <v>41</v>
      </c>
    </row>
    <row r="9" spans="1:6" ht="15" customHeight="1" x14ac:dyDescent="0.3">
      <c r="A9" s="14" t="s">
        <v>61</v>
      </c>
      <c r="B9" s="14" t="s">
        <v>66</v>
      </c>
      <c r="C9" s="14" t="s">
        <v>63</v>
      </c>
      <c r="D9" s="15" t="s">
        <v>67</v>
      </c>
      <c r="E9" s="15" t="s">
        <v>68</v>
      </c>
      <c r="F9" s="14" t="s">
        <v>69</v>
      </c>
    </row>
    <row r="10" spans="1:6" ht="15" customHeight="1" x14ac:dyDescent="0.3">
      <c r="A10" s="14" t="s">
        <v>61</v>
      </c>
      <c r="B10" s="14" t="s">
        <v>70</v>
      </c>
      <c r="C10" s="14" t="s">
        <v>63</v>
      </c>
      <c r="D10" s="15" t="s">
        <v>71</v>
      </c>
      <c r="E10" s="15" t="s">
        <v>51</v>
      </c>
      <c r="F10" s="14" t="s">
        <v>52</v>
      </c>
    </row>
    <row r="11" spans="1:6" ht="15" customHeight="1" x14ac:dyDescent="0.3">
      <c r="A11" s="14" t="s">
        <v>72</v>
      </c>
      <c r="B11" s="14" t="s">
        <v>73</v>
      </c>
      <c r="C11" s="14" t="s">
        <v>74</v>
      </c>
      <c r="D11" s="15" t="s">
        <v>75</v>
      </c>
      <c r="E11" s="15" t="s">
        <v>76</v>
      </c>
      <c r="F11" s="14" t="s">
        <v>41</v>
      </c>
    </row>
    <row r="12" spans="1:6" ht="15" customHeight="1" x14ac:dyDescent="0.3">
      <c r="A12" s="14" t="s">
        <v>72</v>
      </c>
      <c r="B12" s="14" t="s">
        <v>77</v>
      </c>
      <c r="C12" s="14" t="s">
        <v>74</v>
      </c>
      <c r="D12" s="15" t="s">
        <v>71</v>
      </c>
      <c r="E12" s="15" t="s">
        <v>78</v>
      </c>
      <c r="F12" s="14" t="s">
        <v>52</v>
      </c>
    </row>
    <row r="13" spans="1:6" ht="15" customHeight="1" x14ac:dyDescent="0.3">
      <c r="A13" s="14" t="s">
        <v>79</v>
      </c>
      <c r="B13" s="14" t="s">
        <v>80</v>
      </c>
      <c r="C13" s="14" t="s">
        <v>81</v>
      </c>
      <c r="D13" s="15" t="s">
        <v>82</v>
      </c>
      <c r="E13" s="15" t="s">
        <v>83</v>
      </c>
      <c r="F13" s="14" t="s">
        <v>41</v>
      </c>
    </row>
    <row r="14" spans="1:6" ht="15" customHeight="1" x14ac:dyDescent="0.3">
      <c r="A14" s="14" t="s">
        <v>79</v>
      </c>
      <c r="B14" s="14" t="s">
        <v>84</v>
      </c>
      <c r="C14" s="14" t="s">
        <v>81</v>
      </c>
      <c r="D14" s="15" t="s">
        <v>71</v>
      </c>
      <c r="E14" s="15" t="s">
        <v>78</v>
      </c>
      <c r="F14" s="14" t="s">
        <v>52</v>
      </c>
    </row>
    <row r="15" spans="1:6" ht="15" customHeight="1" x14ac:dyDescent="0.3">
      <c r="A15" s="14" t="s">
        <v>79</v>
      </c>
      <c r="B15" s="14" t="s">
        <v>85</v>
      </c>
      <c r="C15" s="14" t="s">
        <v>81</v>
      </c>
      <c r="D15" s="15" t="s">
        <v>86</v>
      </c>
      <c r="E15" s="15" t="s">
        <v>87</v>
      </c>
      <c r="F15" s="14" t="s">
        <v>88</v>
      </c>
    </row>
    <row r="16" spans="1:6" ht="15" customHeight="1" x14ac:dyDescent="0.3">
      <c r="A16" s="14" t="s">
        <v>89</v>
      </c>
      <c r="B16" s="14" t="s">
        <v>90</v>
      </c>
      <c r="C16" s="14" t="s">
        <v>55</v>
      </c>
      <c r="D16" s="15" t="s">
        <v>64</v>
      </c>
      <c r="E16" s="15" t="s">
        <v>67</v>
      </c>
      <c r="F16" s="14" t="s">
        <v>41</v>
      </c>
    </row>
    <row r="17" spans="1:6" ht="15" customHeight="1" x14ac:dyDescent="0.3">
      <c r="A17" s="14" t="s">
        <v>89</v>
      </c>
      <c r="B17" s="14" t="s">
        <v>91</v>
      </c>
      <c r="C17" s="14" t="s">
        <v>63</v>
      </c>
      <c r="D17" s="15" t="s">
        <v>92</v>
      </c>
      <c r="E17" s="15" t="s">
        <v>60</v>
      </c>
      <c r="F17" s="14" t="s">
        <v>69</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
  <sheetViews>
    <sheetView showGridLines="0" zoomScaleNormal="100" workbookViewId="0">
      <pane ySplit="1" topLeftCell="A2" activePane="bottomLeft" state="frozen"/>
      <selection pane="bottomLeft" activeCell="E3" sqref="E3"/>
    </sheetView>
  </sheetViews>
  <sheetFormatPr defaultColWidth="8.6640625" defaultRowHeight="14.4" x14ac:dyDescent="0.3"/>
  <cols>
    <col min="1" max="1" width="10" customWidth="1"/>
    <col min="2" max="2" width="12" customWidth="1"/>
    <col min="3" max="3" width="28" customWidth="1"/>
    <col min="4" max="4" width="40" customWidth="1"/>
    <col min="5" max="5" width="90" customWidth="1"/>
  </cols>
  <sheetData>
    <row r="1" spans="1:5" ht="26.25" customHeight="1" x14ac:dyDescent="0.3">
      <c r="A1" s="13" t="s">
        <v>93</v>
      </c>
      <c r="B1" s="13" t="s">
        <v>94</v>
      </c>
      <c r="C1" s="13" t="s">
        <v>95</v>
      </c>
      <c r="D1" s="13" t="s">
        <v>96</v>
      </c>
      <c r="E1" s="13" t="s">
        <v>97</v>
      </c>
    </row>
    <row r="2" spans="1:5" ht="259.5" customHeight="1" x14ac:dyDescent="0.3">
      <c r="A2" s="16" t="s">
        <v>98</v>
      </c>
      <c r="B2" s="17" t="s">
        <v>99</v>
      </c>
      <c r="C2" s="16" t="s">
        <v>100</v>
      </c>
      <c r="D2" s="16" t="s">
        <v>101</v>
      </c>
      <c r="E2" s="16" t="s">
        <v>102</v>
      </c>
    </row>
    <row r="3" spans="1:5" ht="234.6" x14ac:dyDescent="0.3">
      <c r="A3" s="16" t="s">
        <v>103</v>
      </c>
      <c r="B3" s="17" t="s">
        <v>104</v>
      </c>
      <c r="C3" s="16" t="s">
        <v>105</v>
      </c>
      <c r="D3" s="16" t="s">
        <v>106</v>
      </c>
      <c r="E3" s="16" t="s">
        <v>107</v>
      </c>
    </row>
    <row r="4" spans="1:5" ht="259.5" customHeight="1" x14ac:dyDescent="0.3">
      <c r="A4" s="16" t="s">
        <v>108</v>
      </c>
      <c r="B4" s="17" t="s">
        <v>104</v>
      </c>
      <c r="C4" s="16" t="s">
        <v>109</v>
      </c>
      <c r="D4" s="16" t="s">
        <v>110</v>
      </c>
      <c r="E4" s="16" t="s">
        <v>111</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1"/>
  <sheetViews>
    <sheetView showGridLines="0" zoomScaleNormal="100" workbookViewId="0">
      <pane ySplit="1" topLeftCell="A2" activePane="bottomLeft" state="frozen"/>
      <selection pane="bottomLeft"/>
    </sheetView>
  </sheetViews>
  <sheetFormatPr defaultColWidth="8.6640625" defaultRowHeight="14.4" x14ac:dyDescent="0.3"/>
  <cols>
    <col min="1" max="1" width="9" customWidth="1"/>
    <col min="2" max="2" width="14" customWidth="1"/>
    <col min="3" max="3" width="10" customWidth="1"/>
    <col min="4" max="4" width="46" customWidth="1"/>
    <col min="5" max="5" width="16" customWidth="1"/>
    <col min="6" max="6" width="12" customWidth="1"/>
    <col min="7" max="7" width="11" customWidth="1"/>
    <col min="8" max="8" width="55" customWidth="1"/>
  </cols>
  <sheetData>
    <row r="1" spans="1:8" ht="26.25" customHeight="1" x14ac:dyDescent="0.3">
      <c r="A1" s="13" t="s">
        <v>112</v>
      </c>
      <c r="B1" s="13" t="s">
        <v>113</v>
      </c>
      <c r="C1" s="13" t="s">
        <v>114</v>
      </c>
      <c r="D1" s="13" t="s">
        <v>115</v>
      </c>
      <c r="E1" s="13" t="s">
        <v>32</v>
      </c>
      <c r="F1" s="13" t="s">
        <v>116</v>
      </c>
      <c r="G1" s="13" t="s">
        <v>117</v>
      </c>
      <c r="H1" s="13" t="s">
        <v>118</v>
      </c>
    </row>
    <row r="2" spans="1:8" ht="45" customHeight="1" x14ac:dyDescent="0.3">
      <c r="A2" s="16" t="s">
        <v>119</v>
      </c>
      <c r="B2" s="16" t="s">
        <v>98</v>
      </c>
      <c r="C2" s="16" t="s">
        <v>120</v>
      </c>
      <c r="D2" s="16" t="s">
        <v>121</v>
      </c>
      <c r="E2" s="16" t="s">
        <v>63</v>
      </c>
      <c r="F2" s="17" t="s">
        <v>122</v>
      </c>
      <c r="G2" s="16" t="s">
        <v>123</v>
      </c>
      <c r="H2" s="16" t="s">
        <v>124</v>
      </c>
    </row>
    <row r="3" spans="1:8" ht="45" customHeight="1" x14ac:dyDescent="0.3">
      <c r="A3" s="16" t="s">
        <v>125</v>
      </c>
      <c r="B3" s="16" t="s">
        <v>98</v>
      </c>
      <c r="C3" s="16" t="s">
        <v>120</v>
      </c>
      <c r="D3" s="16" t="s">
        <v>126</v>
      </c>
      <c r="E3" s="16" t="s">
        <v>55</v>
      </c>
      <c r="F3" s="17" t="s">
        <v>122</v>
      </c>
      <c r="G3" s="16" t="s">
        <v>127</v>
      </c>
      <c r="H3" s="16" t="s">
        <v>128</v>
      </c>
    </row>
    <row r="4" spans="1:8" ht="45" customHeight="1" x14ac:dyDescent="0.3">
      <c r="A4" s="16" t="s">
        <v>129</v>
      </c>
      <c r="B4" s="16" t="s">
        <v>98</v>
      </c>
      <c r="C4" s="16" t="s">
        <v>120</v>
      </c>
      <c r="D4" s="16" t="s">
        <v>130</v>
      </c>
      <c r="E4" s="16" t="s">
        <v>47</v>
      </c>
      <c r="F4" s="17" t="s">
        <v>131</v>
      </c>
      <c r="G4" s="16" t="s">
        <v>123</v>
      </c>
      <c r="H4" s="16" t="s">
        <v>132</v>
      </c>
    </row>
    <row r="5" spans="1:8" ht="45" customHeight="1" x14ac:dyDescent="0.3">
      <c r="A5" s="16" t="s">
        <v>133</v>
      </c>
      <c r="B5" s="16" t="s">
        <v>98</v>
      </c>
      <c r="C5" s="16" t="s">
        <v>120</v>
      </c>
      <c r="D5" s="16" t="s">
        <v>134</v>
      </c>
      <c r="E5" s="16" t="s">
        <v>74</v>
      </c>
      <c r="F5" s="17" t="s">
        <v>60</v>
      </c>
      <c r="G5" s="16" t="s">
        <v>127</v>
      </c>
      <c r="H5" s="16" t="s">
        <v>135</v>
      </c>
    </row>
    <row r="6" spans="1:8" ht="45" customHeight="1" x14ac:dyDescent="0.3">
      <c r="A6" s="16" t="s">
        <v>136</v>
      </c>
      <c r="B6" s="16" t="s">
        <v>98</v>
      </c>
      <c r="C6" s="16" t="s">
        <v>120</v>
      </c>
      <c r="D6" s="16" t="s">
        <v>137</v>
      </c>
      <c r="E6" s="16" t="s">
        <v>38</v>
      </c>
      <c r="F6" s="17" t="s">
        <v>138</v>
      </c>
      <c r="G6" s="16" t="s">
        <v>123</v>
      </c>
      <c r="H6" s="16" t="s">
        <v>139</v>
      </c>
    </row>
    <row r="7" spans="1:8" ht="45" customHeight="1" x14ac:dyDescent="0.3">
      <c r="A7" s="16" t="s">
        <v>140</v>
      </c>
      <c r="B7" s="16" t="s">
        <v>103</v>
      </c>
      <c r="C7" s="16" t="s">
        <v>120</v>
      </c>
      <c r="D7" s="16" t="s">
        <v>141</v>
      </c>
      <c r="E7" s="16" t="s">
        <v>38</v>
      </c>
      <c r="F7" s="17" t="s">
        <v>142</v>
      </c>
      <c r="G7" s="16" t="s">
        <v>123</v>
      </c>
      <c r="H7" s="16" t="s">
        <v>143</v>
      </c>
    </row>
    <row r="8" spans="1:8" ht="45" customHeight="1" x14ac:dyDescent="0.3">
      <c r="A8" s="16" t="s">
        <v>144</v>
      </c>
      <c r="B8" s="16" t="s">
        <v>103</v>
      </c>
      <c r="C8" s="16" t="s">
        <v>145</v>
      </c>
      <c r="D8" s="16" t="s">
        <v>146</v>
      </c>
      <c r="E8" s="16" t="s">
        <v>147</v>
      </c>
      <c r="F8" s="17" t="s">
        <v>142</v>
      </c>
      <c r="G8" s="16" t="s">
        <v>123</v>
      </c>
      <c r="H8" s="16" t="s">
        <v>148</v>
      </c>
    </row>
    <row r="9" spans="1:8" ht="45" customHeight="1" x14ac:dyDescent="0.3">
      <c r="A9" s="16" t="s">
        <v>149</v>
      </c>
      <c r="B9" s="16" t="s">
        <v>103</v>
      </c>
      <c r="C9" s="16" t="s">
        <v>120</v>
      </c>
      <c r="D9" s="16" t="s">
        <v>150</v>
      </c>
      <c r="E9" s="16" t="s">
        <v>38</v>
      </c>
      <c r="F9" s="17" t="s">
        <v>142</v>
      </c>
      <c r="G9" s="16" t="s">
        <v>123</v>
      </c>
      <c r="H9" s="16" t="s">
        <v>151</v>
      </c>
    </row>
    <row r="10" spans="1:8" ht="45" customHeight="1" x14ac:dyDescent="0.3">
      <c r="A10" s="16" t="s">
        <v>152</v>
      </c>
      <c r="B10" s="16" t="s">
        <v>108</v>
      </c>
      <c r="C10" s="16" t="s">
        <v>120</v>
      </c>
      <c r="D10" s="16" t="s">
        <v>153</v>
      </c>
      <c r="E10" s="16" t="s">
        <v>74</v>
      </c>
      <c r="F10" s="17" t="s">
        <v>154</v>
      </c>
      <c r="G10" s="16" t="s">
        <v>127</v>
      </c>
      <c r="H10" s="16" t="s">
        <v>155</v>
      </c>
    </row>
    <row r="11" spans="1:8" ht="45" customHeight="1" x14ac:dyDescent="0.3">
      <c r="A11" s="16" t="s">
        <v>156</v>
      </c>
      <c r="B11" s="16" t="s">
        <v>108</v>
      </c>
      <c r="C11" s="16" t="s">
        <v>120</v>
      </c>
      <c r="D11" s="16" t="s">
        <v>157</v>
      </c>
      <c r="E11" s="16" t="s">
        <v>74</v>
      </c>
      <c r="F11" s="17" t="s">
        <v>158</v>
      </c>
      <c r="G11" s="16" t="s">
        <v>159</v>
      </c>
      <c r="H11" s="16" t="s">
        <v>160</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
  <sheetViews>
    <sheetView showGridLines="0" tabSelected="1" zoomScaleNormal="100" workbookViewId="0">
      <pane ySplit="1" topLeftCell="A2" activePane="bottomLeft" state="frozen"/>
      <selection pane="bottomLeft" activeCell="B2" sqref="B2"/>
    </sheetView>
  </sheetViews>
  <sheetFormatPr defaultColWidth="8.6640625" defaultRowHeight="14.4" x14ac:dyDescent="0.3"/>
  <cols>
    <col min="1" max="1" width="10.33203125" bestFit="1" customWidth="1"/>
    <col min="2" max="2" width="45.21875" bestFit="1" customWidth="1"/>
    <col min="3" max="3" width="18.6640625" bestFit="1" customWidth="1"/>
    <col min="4" max="4" width="22.5546875" bestFit="1" customWidth="1"/>
    <col min="5" max="5" width="11.21875" bestFit="1" customWidth="1"/>
    <col min="6" max="6" width="14.5546875" bestFit="1" customWidth="1"/>
    <col min="7" max="7" width="11.21875" bestFit="1" customWidth="1"/>
    <col min="8" max="8" width="18.6640625" bestFit="1" customWidth="1"/>
    <col min="9" max="9" width="20" bestFit="1" customWidth="1"/>
  </cols>
  <sheetData>
    <row r="1" spans="1:9" ht="26.25" customHeight="1" x14ac:dyDescent="0.3">
      <c r="A1" s="13" t="s">
        <v>112</v>
      </c>
      <c r="B1" s="13" t="s">
        <v>115</v>
      </c>
      <c r="C1" s="13" t="s">
        <v>32</v>
      </c>
      <c r="D1" s="13" t="s">
        <v>161</v>
      </c>
      <c r="E1" s="13" t="s">
        <v>116</v>
      </c>
      <c r="F1" s="13" t="s">
        <v>162</v>
      </c>
      <c r="G1" s="13" t="s">
        <v>117</v>
      </c>
      <c r="H1" s="13" t="s">
        <v>163</v>
      </c>
      <c r="I1" s="13" t="s">
        <v>164</v>
      </c>
    </row>
    <row r="2" spans="1:9" ht="31.5" customHeight="1" x14ac:dyDescent="0.3">
      <c r="A2" s="18" t="str">
        <f>Claude_Extracted_Actions!A2</f>
        <v>A1</v>
      </c>
      <c r="B2" s="19" t="str">
        <f>Claude_Extracted_Actions!D2</f>
        <v>Complete supply chain legacy data extraction (resolve WMS API throttling)</v>
      </c>
      <c r="C2" s="18" t="str">
        <f>Claude_Extracted_Actions!E2</f>
        <v>Fatima Rahman</v>
      </c>
      <c r="D2" s="18" t="str">
        <f>IFERROR(IF(MATCH(C2,Project_Plan!$C$2:$C$17,0)&gt;0,"Valid Owner","NOT FOUND IN PLAN"),"NOT FOUND IN PLAN")</f>
        <v>Valid Owner</v>
      </c>
      <c r="E2" s="20" t="str">
        <f>Claude_Extracted_Actions!F2</f>
        <v>2026-08-10</v>
      </c>
      <c r="F2" s="21">
        <f t="shared" ref="F2:F11" ca="1" si="0">E2-TODAY()</f>
        <v>5</v>
      </c>
      <c r="G2" s="18" t="str">
        <f>Claude_Extracted_Actions!G2</f>
        <v>High</v>
      </c>
      <c r="H2" s="18" t="str">
        <f t="shared" ref="H2:H11" ca="1" si="1">IF(F2&lt;0,"OVERDUE",IF(F2&lt;=3,"AT RISK","ON TRACK"))</f>
        <v>ON TRACK</v>
      </c>
      <c r="I2" s="18" t="str">
        <f t="shared" ref="I2:I11" ca="1" si="2">IF(AND(H2="OVERDUE",G2="High"),"ESCALATE TO STEERING COMMITTEE",IF(H2="OVERDUE","Escalate to workstream lead",IF(H2="AT RISK","Monitor daily","On track — no action")))</f>
        <v>On track — no action</v>
      </c>
    </row>
    <row r="3" spans="1:9" ht="31.5" customHeight="1" x14ac:dyDescent="0.3">
      <c r="A3" s="18" t="str">
        <f>Claude_Extracted_Actions!A3</f>
        <v>A2</v>
      </c>
      <c r="B3" s="19" t="str">
        <f>Claude_Extracted_Actions!D3</f>
        <v>Validate sample reconciliation of supply chain extraction</v>
      </c>
      <c r="C3" s="18" t="str">
        <f>Claude_Extracted_Actions!E3</f>
        <v>Marcus Chen</v>
      </c>
      <c r="D3" s="18" t="str">
        <f>IFERROR(IF(MATCH(C3,Project_Plan!$C$2:$C$17,0)&gt;0,"Valid Owner","NOT FOUND IN PLAN"),"NOT FOUND IN PLAN")</f>
        <v>Valid Owner</v>
      </c>
      <c r="E3" s="20" t="str">
        <f>Claude_Extracted_Actions!F3</f>
        <v>2026-08-10</v>
      </c>
      <c r="F3" s="21">
        <f t="shared" ca="1" si="0"/>
        <v>5</v>
      </c>
      <c r="G3" s="18" t="str">
        <f>Claude_Extracted_Actions!G3</f>
        <v>Medium</v>
      </c>
      <c r="H3" s="18" t="str">
        <f t="shared" ca="1" si="1"/>
        <v>ON TRACK</v>
      </c>
      <c r="I3" s="18" t="str">
        <f t="shared" ca="1" si="2"/>
        <v>On track — no action</v>
      </c>
    </row>
    <row r="4" spans="1:9" ht="31.5" customHeight="1" x14ac:dyDescent="0.3">
      <c r="A4" s="18" t="str">
        <f>Claude_Extracted_Actions!A4</f>
        <v>A3</v>
      </c>
      <c r="B4" s="19" t="str">
        <f>Claude_Extracted_Actions!D4</f>
        <v>Retest 3 severity-1 Finance UAT defects</v>
      </c>
      <c r="C4" s="18" t="str">
        <f>Claude_Extracted_Actions!E4</f>
        <v>Priya Nair</v>
      </c>
      <c r="D4" s="18" t="str">
        <f>IFERROR(IF(MATCH(C4,Project_Plan!$C$2:$C$17,0)&gt;0,"Valid Owner","NOT FOUND IN PLAN"),"NOT FOUND IN PLAN")</f>
        <v>Valid Owner</v>
      </c>
      <c r="E4" s="20" t="str">
        <f>Claude_Extracted_Actions!F4</f>
        <v>2026-08-12</v>
      </c>
      <c r="F4" s="21">
        <f t="shared" ca="1" si="0"/>
        <v>7</v>
      </c>
      <c r="G4" s="18" t="str">
        <f>Claude_Extracted_Actions!G4</f>
        <v>High</v>
      </c>
      <c r="H4" s="18" t="str">
        <f t="shared" ca="1" si="1"/>
        <v>ON TRACK</v>
      </c>
      <c r="I4" s="18" t="str">
        <f t="shared" ca="1" si="2"/>
        <v>On track — no action</v>
      </c>
    </row>
    <row r="5" spans="1:9" ht="31.5" customHeight="1" x14ac:dyDescent="0.3">
      <c r="A5" s="18" t="str">
        <f>Claude_Extracted_Actions!A5</f>
        <v>A4</v>
      </c>
      <c r="B5" s="19" t="str">
        <f>Claude_Extracted_Actions!D5</f>
        <v>Send store manager training rollout schedule</v>
      </c>
      <c r="C5" s="18" t="str">
        <f>Claude_Extracted_Actions!E5</f>
        <v>James O'Connor</v>
      </c>
      <c r="D5" s="18" t="str">
        <f>IFERROR(IF(MATCH(C5,Project_Plan!$C$2:$C$17,0)&gt;0,"Valid Owner","NOT FOUND IN PLAN"),"NOT FOUND IN PLAN")</f>
        <v>Valid Owner</v>
      </c>
      <c r="E5" s="20" t="str">
        <f>Claude_Extracted_Actions!F5</f>
        <v>2026-08-07</v>
      </c>
      <c r="F5" s="21">
        <f t="shared" ca="1" si="0"/>
        <v>2</v>
      </c>
      <c r="G5" s="18" t="str">
        <f>Claude_Extracted_Actions!G5</f>
        <v>Medium</v>
      </c>
      <c r="H5" s="18" t="str">
        <f t="shared" ca="1" si="1"/>
        <v>AT RISK</v>
      </c>
      <c r="I5" s="18" t="str">
        <f t="shared" ca="1" si="2"/>
        <v>Monitor daily</v>
      </c>
    </row>
    <row r="6" spans="1:9" ht="31.5" customHeight="1" x14ac:dyDescent="0.3">
      <c r="A6" s="18" t="str">
        <f>Claude_Extracted_Actions!A6</f>
        <v>A5</v>
      </c>
      <c r="B6" s="19" t="str">
        <f>Claude_Extracted_Actions!D6</f>
        <v>Formally escalate integration middleware latency issue to TechFlow Middleware</v>
      </c>
      <c r="C6" s="18" t="str">
        <f>Claude_Extracted_Actions!E6</f>
        <v>Rahul Verma</v>
      </c>
      <c r="D6" s="18" t="str">
        <f>IFERROR(IF(MATCH(C6,Project_Plan!$C$2:$C$17,0)&gt;0,"Valid Owner","NOT FOUND IN PLAN"),"NOT FOUND IN PLAN")</f>
        <v>Valid Owner</v>
      </c>
      <c r="E6" s="20" t="str">
        <f>Claude_Extracted_Actions!F6</f>
        <v>2026-08-11</v>
      </c>
      <c r="F6" s="21">
        <f t="shared" ca="1" si="0"/>
        <v>6</v>
      </c>
      <c r="G6" s="18" t="str">
        <f>Claude_Extracted_Actions!G6</f>
        <v>High</v>
      </c>
      <c r="H6" s="18" t="str">
        <f t="shared" ca="1" si="1"/>
        <v>ON TRACK</v>
      </c>
      <c r="I6" s="18" t="str">
        <f t="shared" ca="1" si="2"/>
        <v>On track — no action</v>
      </c>
    </row>
    <row r="7" spans="1:9" ht="31.5" customHeight="1" x14ac:dyDescent="0.3">
      <c r="A7" s="18" t="str">
        <f>Claude_Extracted_Actions!A7</f>
        <v>A6</v>
      </c>
      <c r="B7" s="19" t="str">
        <f>Claude_Extracted_Actions!D7</f>
        <v>Prepare consolidated vendor change-request cost summary for Steering Committee</v>
      </c>
      <c r="C7" s="18" t="str">
        <f>Claude_Extracted_Actions!E7</f>
        <v>Rahul Verma</v>
      </c>
      <c r="D7" s="18" t="str">
        <f>IFERROR(IF(MATCH(C7,Project_Plan!$C$2:$C$17,0)&gt;0,"Valid Owner","NOT FOUND IN PLAN"),"NOT FOUND IN PLAN")</f>
        <v>Valid Owner</v>
      </c>
      <c r="E7" s="20" t="str">
        <f>Claude_Extracted_Actions!F7</f>
        <v>2026-08-06</v>
      </c>
      <c r="F7" s="21">
        <f t="shared" ca="1" si="0"/>
        <v>1</v>
      </c>
      <c r="G7" s="18" t="str">
        <f>Claude_Extracted_Actions!G7</f>
        <v>High</v>
      </c>
      <c r="H7" s="18" t="str">
        <f t="shared" ca="1" si="1"/>
        <v>AT RISK</v>
      </c>
      <c r="I7" s="18" t="str">
        <f t="shared" ca="1" si="2"/>
        <v>Monitor daily</v>
      </c>
    </row>
    <row r="8" spans="1:9" ht="31.5" customHeight="1" x14ac:dyDescent="0.3">
      <c r="A8" s="18" t="str">
        <f>Claude_Extracted_Actions!A8</f>
        <v>A7</v>
      </c>
      <c r="B8" s="19" t="str">
        <f>Claude_Extracted_Actions!D8</f>
        <v>Steering Committee to decide: delay UAT cycle 2 by one week vs. accept compressed-timeline risk</v>
      </c>
      <c r="C8" s="18" t="str">
        <f>Claude_Extracted_Actions!E8</f>
        <v>Steering Committee</v>
      </c>
      <c r="D8" s="18" t="str">
        <f>IFERROR(IF(MATCH(C8,Project_Plan!$C$2:$C$17,0)&gt;0,"Valid Owner","NOT FOUND IN PLAN"),"NOT FOUND IN PLAN")</f>
        <v>NOT FOUND IN PLAN</v>
      </c>
      <c r="E8" s="20" t="str">
        <f>Claude_Extracted_Actions!F8</f>
        <v>2026-08-06</v>
      </c>
      <c r="F8" s="21">
        <f t="shared" ca="1" si="0"/>
        <v>1</v>
      </c>
      <c r="G8" s="18" t="str">
        <f>Claude_Extracted_Actions!G8</f>
        <v>High</v>
      </c>
      <c r="H8" s="18" t="str">
        <f t="shared" ca="1" si="1"/>
        <v>AT RISK</v>
      </c>
      <c r="I8" s="18" t="str">
        <f t="shared" ca="1" si="2"/>
        <v>Monitor daily</v>
      </c>
    </row>
    <row r="9" spans="1:9" ht="31.5" customHeight="1" x14ac:dyDescent="0.3">
      <c r="A9" s="18" t="str">
        <f>Claude_Extracted_Actions!A9</f>
        <v>A8</v>
      </c>
      <c r="B9" s="19" t="str">
        <f>Claude_Extracted_Actions!D9</f>
        <v>Send formal SLA escalation email to TechFlow Middleware / SAP AMS re: severity-1 defects</v>
      </c>
      <c r="C9" s="18" t="str">
        <f>Claude_Extracted_Actions!E9</f>
        <v>Rahul Verma</v>
      </c>
      <c r="D9" s="18" t="str">
        <f>IFERROR(IF(MATCH(C9,Project_Plan!$C$2:$C$17,0)&gt;0,"Valid Owner","NOT FOUND IN PLAN"),"NOT FOUND IN PLAN")</f>
        <v>Valid Owner</v>
      </c>
      <c r="E9" s="20" t="str">
        <f>Claude_Extracted_Actions!F9</f>
        <v>2026-08-06</v>
      </c>
      <c r="F9" s="21">
        <f t="shared" ca="1" si="0"/>
        <v>1</v>
      </c>
      <c r="G9" s="18" t="str">
        <f>Claude_Extracted_Actions!G9</f>
        <v>High</v>
      </c>
      <c r="H9" s="18" t="str">
        <f t="shared" ca="1" si="1"/>
        <v>AT RISK</v>
      </c>
      <c r="I9" s="18" t="str">
        <f t="shared" ca="1" si="2"/>
        <v>Monitor daily</v>
      </c>
    </row>
    <row r="10" spans="1:9" ht="31.5" customHeight="1" x14ac:dyDescent="0.3">
      <c r="A10" s="18" t="str">
        <f>Claude_Extracted_Actions!A10</f>
        <v>A9</v>
      </c>
      <c r="B10" s="19" t="str">
        <f>Claude_Extracted_Actions!D10</f>
        <v>Send training reminder and escalate low registration (Southeast, Midwest) to Regional VP</v>
      </c>
      <c r="C10" s="18" t="str">
        <f>Claude_Extracted_Actions!E10</f>
        <v>James O'Connor</v>
      </c>
      <c r="D10" s="18" t="str">
        <f>IFERROR(IF(MATCH(C10,Project_Plan!$C$2:$C$17,0)&gt;0,"Valid Owner","NOT FOUND IN PLAN"),"NOT FOUND IN PLAN")</f>
        <v>Valid Owner</v>
      </c>
      <c r="E10" s="20" t="str">
        <f>Claude_Extracted_Actions!F10</f>
        <v>2026-08-08</v>
      </c>
      <c r="F10" s="21">
        <f t="shared" ca="1" si="0"/>
        <v>3</v>
      </c>
      <c r="G10" s="18" t="str">
        <f>Claude_Extracted_Actions!G10</f>
        <v>Medium</v>
      </c>
      <c r="H10" s="18" t="str">
        <f t="shared" ca="1" si="1"/>
        <v>AT RISK</v>
      </c>
      <c r="I10" s="18" t="str">
        <f t="shared" ca="1" si="2"/>
        <v>Monitor daily</v>
      </c>
    </row>
    <row r="11" spans="1:9" ht="31.5" customHeight="1" x14ac:dyDescent="0.3">
      <c r="A11" s="18" t="str">
        <f>Claude_Extracted_Actions!A11</f>
        <v>A10</v>
      </c>
      <c r="B11" s="19" t="str">
        <f>Claude_Extracted_Actions!D11</f>
        <v>Refresh super-user FAQ with guidance on new UAT defects</v>
      </c>
      <c r="C11" s="18" t="str">
        <f>Claude_Extracted_Actions!E11</f>
        <v>James O'Connor</v>
      </c>
      <c r="D11" s="18" t="str">
        <f>IFERROR(IF(MATCH(C11,Project_Plan!$C$2:$C$17,0)&gt;0,"Valid Owner","NOT FOUND IN PLAN"),"NOT FOUND IN PLAN")</f>
        <v>Valid Owner</v>
      </c>
      <c r="E11" s="20" t="str">
        <f>Claude_Extracted_Actions!F11</f>
        <v>2026-08-13</v>
      </c>
      <c r="F11" s="21">
        <f t="shared" ca="1" si="0"/>
        <v>8</v>
      </c>
      <c r="G11" s="18" t="str">
        <f>Claude_Extracted_Actions!G11</f>
        <v>Low</v>
      </c>
      <c r="H11" s="18" t="str">
        <f t="shared" ca="1" si="1"/>
        <v>ON TRACK</v>
      </c>
      <c r="I11" s="18" t="str">
        <f t="shared" ca="1" si="2"/>
        <v>On track — no action</v>
      </c>
    </row>
    <row r="13" spans="1:9" ht="30" customHeight="1" x14ac:dyDescent="0.3">
      <c r="B13" s="3" t="s">
        <v>165</v>
      </c>
      <c r="C13" s="3"/>
      <c r="D13" s="3"/>
      <c r="E13" s="3"/>
      <c r="F13" s="3"/>
      <c r="G13" s="3"/>
      <c r="H13" s="3"/>
      <c r="I13" s="3"/>
    </row>
  </sheetData>
  <mergeCells count="1">
    <mergeCell ref="B13:I13"/>
  </mergeCells>
  <conditionalFormatting sqref="D2:D11">
    <cfRule type="cellIs" dxfId="3" priority="5" operator="equal">
      <formula>"NOT FOUND IN PLAN"</formula>
    </cfRule>
  </conditionalFormatting>
  <conditionalFormatting sqref="H2:H11">
    <cfRule type="cellIs" dxfId="2" priority="2" operator="equal">
      <formula>"OVERDUE"</formula>
    </cfRule>
    <cfRule type="cellIs" dxfId="1" priority="3" operator="equal">
      <formula>"AT RISK"</formula>
    </cfRule>
    <cfRule type="cellIs" dxfId="0" priority="4" operator="equal">
      <formula>"ON TRACK"</formula>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F18"/>
  <sheetViews>
    <sheetView showGridLines="0" zoomScaleNormal="100" workbookViewId="0"/>
  </sheetViews>
  <sheetFormatPr defaultColWidth="8.6640625" defaultRowHeight="14.4" x14ac:dyDescent="0.3"/>
  <cols>
    <col min="1" max="1" width="3" customWidth="1"/>
    <col min="2" max="6" width="22" customWidth="1"/>
  </cols>
  <sheetData>
    <row r="2" spans="2:6" ht="17.25" customHeight="1" x14ac:dyDescent="0.3">
      <c r="B2" s="22" t="s">
        <v>166</v>
      </c>
    </row>
    <row r="3" spans="2:6" ht="15" customHeight="1" x14ac:dyDescent="0.3">
      <c r="B3" s="23" t="s">
        <v>167</v>
      </c>
    </row>
    <row r="5" spans="2:6" ht="15" customHeight="1" x14ac:dyDescent="0.3">
      <c r="B5" s="2" t="s">
        <v>168</v>
      </c>
      <c r="C5" s="2"/>
      <c r="D5" s="2"/>
      <c r="E5" s="2"/>
      <c r="F5" s="2"/>
    </row>
    <row r="6" spans="2:6" ht="150" customHeight="1" x14ac:dyDescent="0.3">
      <c r="B6" s="1" t="s">
        <v>169</v>
      </c>
      <c r="C6" s="1"/>
      <c r="D6" s="1"/>
      <c r="E6" s="1"/>
      <c r="F6" s="1"/>
    </row>
    <row r="8" spans="2:6" ht="15" customHeight="1" x14ac:dyDescent="0.3">
      <c r="B8" s="2" t="s">
        <v>170</v>
      </c>
      <c r="C8" s="2"/>
      <c r="D8" s="2"/>
      <c r="E8" s="2"/>
      <c r="F8" s="2"/>
    </row>
    <row r="9" spans="2:6" ht="150" customHeight="1" x14ac:dyDescent="0.3">
      <c r="B9" s="1" t="s">
        <v>171</v>
      </c>
      <c r="C9" s="1"/>
      <c r="D9" s="1"/>
      <c r="E9" s="1"/>
      <c r="F9" s="1"/>
    </row>
    <row r="11" spans="2:6" ht="15" customHeight="1" x14ac:dyDescent="0.3">
      <c r="B11" s="2" t="s">
        <v>172</v>
      </c>
      <c r="C11" s="2"/>
      <c r="D11" s="2"/>
      <c r="E11" s="2"/>
      <c r="F11" s="2"/>
    </row>
    <row r="12" spans="2:6" ht="150" customHeight="1" x14ac:dyDescent="0.3">
      <c r="B12" s="1" t="s">
        <v>173</v>
      </c>
      <c r="C12" s="1"/>
      <c r="D12" s="1"/>
      <c r="E12" s="1"/>
      <c r="F12" s="1"/>
    </row>
    <row r="14" spans="2:6" ht="15" customHeight="1" x14ac:dyDescent="0.3">
      <c r="B14" s="2" t="s">
        <v>174</v>
      </c>
      <c r="C14" s="2"/>
      <c r="D14" s="2"/>
      <c r="E14" s="2"/>
      <c r="F14" s="2"/>
    </row>
    <row r="15" spans="2:6" ht="150" customHeight="1" x14ac:dyDescent="0.3">
      <c r="B15" s="1" t="s">
        <v>175</v>
      </c>
      <c r="C15" s="1"/>
      <c r="D15" s="1"/>
      <c r="E15" s="1"/>
      <c r="F15" s="1"/>
    </row>
    <row r="17" spans="2:6" ht="15" customHeight="1" x14ac:dyDescent="0.3">
      <c r="B17" s="2" t="s">
        <v>176</v>
      </c>
      <c r="C17" s="2"/>
      <c r="D17" s="2"/>
      <c r="E17" s="2"/>
      <c r="F17" s="2"/>
    </row>
    <row r="18" spans="2:6" ht="150" customHeight="1" x14ac:dyDescent="0.3">
      <c r="B18" s="1" t="s">
        <v>177</v>
      </c>
      <c r="C18" s="1"/>
      <c r="D18" s="1"/>
      <c r="E18" s="1"/>
      <c r="F18" s="1"/>
    </row>
  </sheetData>
  <mergeCells count="10">
    <mergeCell ref="B12:F12"/>
    <mergeCell ref="B14:F14"/>
    <mergeCell ref="B15:F15"/>
    <mergeCell ref="B17:F17"/>
    <mergeCell ref="B18:F18"/>
    <mergeCell ref="B5:F5"/>
    <mergeCell ref="B6:F6"/>
    <mergeCell ref="B8:F8"/>
    <mergeCell ref="B9:F9"/>
    <mergeCell ref="B11:F11"/>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F15"/>
  <sheetViews>
    <sheetView showGridLines="0" zoomScaleNormal="100" workbookViewId="0"/>
  </sheetViews>
  <sheetFormatPr defaultColWidth="8.6640625" defaultRowHeight="14.4" x14ac:dyDescent="0.3"/>
  <cols>
    <col min="1" max="1" width="3" customWidth="1"/>
    <col min="2" max="6" width="22" customWidth="1"/>
  </cols>
  <sheetData>
    <row r="2" spans="2:6" ht="17.25" customHeight="1" x14ac:dyDescent="0.3">
      <c r="B2" s="22" t="s">
        <v>178</v>
      </c>
    </row>
    <row r="3" spans="2:6" ht="15" customHeight="1" x14ac:dyDescent="0.3">
      <c r="B3" s="23" t="s">
        <v>179</v>
      </c>
    </row>
    <row r="5" spans="2:6" ht="15" customHeight="1" x14ac:dyDescent="0.3">
      <c r="B5" s="2" t="s">
        <v>180</v>
      </c>
      <c r="C5" s="2"/>
      <c r="D5" s="2"/>
      <c r="E5" s="2"/>
      <c r="F5" s="2"/>
    </row>
    <row r="6" spans="2:6" ht="90" customHeight="1" x14ac:dyDescent="0.3">
      <c r="B6" s="1" t="s">
        <v>181</v>
      </c>
      <c r="C6" s="1"/>
      <c r="D6" s="1"/>
      <c r="E6" s="1"/>
      <c r="F6" s="1"/>
    </row>
    <row r="8" spans="2:6" ht="15" customHeight="1" x14ac:dyDescent="0.3">
      <c r="B8" s="2" t="s">
        <v>182</v>
      </c>
      <c r="C8" s="2"/>
      <c r="D8" s="2"/>
      <c r="E8" s="2"/>
      <c r="F8" s="2"/>
    </row>
    <row r="9" spans="2:6" ht="90" customHeight="1" x14ac:dyDescent="0.3">
      <c r="B9" s="1" t="s">
        <v>183</v>
      </c>
      <c r="C9" s="1"/>
      <c r="D9" s="1"/>
      <c r="E9" s="1"/>
      <c r="F9" s="1"/>
    </row>
    <row r="11" spans="2:6" ht="15" customHeight="1" x14ac:dyDescent="0.3">
      <c r="B11" s="2" t="s">
        <v>184</v>
      </c>
      <c r="C11" s="2"/>
      <c r="D11" s="2"/>
      <c r="E11" s="2"/>
      <c r="F11" s="2"/>
    </row>
    <row r="12" spans="2:6" ht="90" customHeight="1" x14ac:dyDescent="0.3">
      <c r="B12" s="1" t="s">
        <v>185</v>
      </c>
      <c r="C12" s="1"/>
      <c r="D12" s="1"/>
      <c r="E12" s="1"/>
      <c r="F12" s="1"/>
    </row>
    <row r="14" spans="2:6" ht="15" customHeight="1" x14ac:dyDescent="0.3">
      <c r="B14" s="2" t="s">
        <v>186</v>
      </c>
      <c r="C14" s="2"/>
      <c r="D14" s="2"/>
      <c r="E14" s="2"/>
      <c r="F14" s="2"/>
    </row>
    <row r="15" spans="2:6" ht="90" customHeight="1" x14ac:dyDescent="0.3">
      <c r="B15" s="1" t="s">
        <v>187</v>
      </c>
      <c r="C15" s="1"/>
      <c r="D15" s="1"/>
      <c r="E15" s="1"/>
      <c r="F15" s="1"/>
    </row>
  </sheetData>
  <mergeCells count="8">
    <mergeCell ref="B12:F12"/>
    <mergeCell ref="B14:F14"/>
    <mergeCell ref="B15:F15"/>
    <mergeCell ref="B5:F5"/>
    <mergeCell ref="B6:F6"/>
    <mergeCell ref="B8:F8"/>
    <mergeCell ref="B9:F9"/>
    <mergeCell ref="B11:F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vt:lpstr>
      <vt:lpstr>Project_Plan</vt:lpstr>
      <vt:lpstr>Meeting_Transcripts</vt:lpstr>
      <vt:lpstr>Claude_Extracted_Actions</vt:lpstr>
      <vt:lpstr>Risk_Action_Tracker</vt:lpstr>
      <vt:lpstr>Status_Report_BLUF</vt:lpstr>
      <vt:lpstr>Steering_Committee_SCQA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Devyani Varati</cp:lastModifiedBy>
  <cp:revision>0</cp:revision>
  <dcterms:created xsi:type="dcterms:W3CDTF">2026-08-05T17:00:40Z</dcterms:created>
  <dcterms:modified xsi:type="dcterms:W3CDTF">2026-08-05T18:18:15Z</dcterms:modified>
  <dc:language>en-US</dc:language>
</cp:coreProperties>
</file>